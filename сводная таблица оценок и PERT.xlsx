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f1cfff57e867f98/ВГУ/4 курс - 7 семестр/Управление проектами/photo-studio/"/>
    </mc:Choice>
  </mc:AlternateContent>
  <xr:revisionPtr revIDLastSave="116" documentId="11_AD4DF75460589B3ACB72848187DB6FA05ADEDD8E" xr6:coauthVersionLast="47" xr6:coauthVersionMax="47" xr10:uidLastSave="{A7D7BFA6-7C56-46B1-9D92-9B5B73F7A0A9}"/>
  <bookViews>
    <workbookView xWindow="-120" yWindow="-120" windowWidth="29040" windowHeight="15720" xr2:uid="{00000000-000D-0000-FFFF-FFFF00000000}"/>
  </bookViews>
  <sheets>
    <sheet name="Оценки пакетов ИСР" sheetId="1" r:id="rId1"/>
    <sheet name="Расчёт PE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K27" i="1"/>
  <c r="H27" i="1"/>
  <c r="G27" i="1"/>
  <c r="F27" i="1"/>
  <c r="E2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</calcChain>
</file>

<file path=xl/sharedStrings.xml><?xml version="1.0" encoding="utf-8"?>
<sst xmlns="http://schemas.openxmlformats.org/spreadsheetml/2006/main" count="114" uniqueCount="82">
  <si>
    <t>Код ИСР</t>
  </si>
  <si>
    <t>Элемент ИСР</t>
  </si>
  <si>
    <t>Ответственный</t>
  </si>
  <si>
    <t>Предшественницы</t>
  </si>
  <si>
    <t>Ставка (₽/ч)</t>
  </si>
  <si>
    <t>Стоимость (₽)</t>
  </si>
  <si>
    <t>Устав, реестр ЗС, анализ методологий</t>
  </si>
  <si>
    <t>РП</t>
  </si>
  <si>
    <t>—</t>
  </si>
  <si>
    <t>Оценки, сетевой график, расписание</t>
  </si>
  <si>
    <t>1.1.1, 2.1.1</t>
  </si>
  <si>
    <t>Реестр рисков</t>
  </si>
  <si>
    <t>Таск-трекер и учёт часов</t>
  </si>
  <si>
    <t>Scrum-мастер</t>
  </si>
  <si>
    <t>Планирование итераций</t>
  </si>
  <si>
    <t>2.1.2, 1.1.2</t>
  </si>
  <si>
    <t>Отчёты о статусе и журнал изменений</t>
  </si>
  <si>
    <t>Интервью и концепт-документ</t>
  </si>
  <si>
    <t>Аналитик</t>
  </si>
  <si>
    <t>Story map и бэклог продукта</t>
  </si>
  <si>
    <t>2.1.1, 1.1.1</t>
  </si>
  <si>
    <t>Макеты интерфейса</t>
  </si>
  <si>
    <t>Дизайнер</t>
  </si>
  <si>
    <t>Архитектура и API</t>
  </si>
  <si>
    <t>Разработчик</t>
  </si>
  <si>
    <t>Репозиторий и Docker-окружение</t>
  </si>
  <si>
    <t>Модель данных и миграции</t>
  </si>
  <si>
    <t>Регистрация и вход</t>
  </si>
  <si>
    <t>3.1.2, 2.2.1</t>
  </si>
  <si>
    <t>Страница бронирования</t>
  </si>
  <si>
    <t>Мои брони</t>
  </si>
  <si>
    <t>Расписание всех залов</t>
  </si>
  <si>
    <t>Управление бронями</t>
  </si>
  <si>
    <t>Настройки залов и блокировка</t>
  </si>
  <si>
    <t>Защита от двойных броней</t>
  </si>
  <si>
    <t>Заглушка оплаты</t>
  </si>
  <si>
    <t>Заглушка уведомлений</t>
  </si>
  <si>
    <t>Демо-данные</t>
  </si>
  <si>
    <t>3.3.2, 3.4.1</t>
  </si>
  <si>
    <t>Проверка сквозных сценариев</t>
  </si>
  <si>
    <t>4.1.1, 3.4.2</t>
  </si>
  <si>
    <t>Инструкция по запуску (README)</t>
  </si>
  <si>
    <t>Демонстрации и приёмка</t>
  </si>
  <si>
    <t>4.1.2, 4.2.1</t>
  </si>
  <si>
    <t>ИТОГО</t>
  </si>
  <si>
    <t>t_0 (ч)</t>
  </si>
  <si>
    <t>t_p ​(ч)</t>
  </si>
  <si>
    <t>σ^2 (дисперсия)</t>
  </si>
  <si>
    <t>t_e (ч)</t>
  </si>
  <si>
    <t>t_m​(ч)</t>
  </si>
  <si>
    <t>1.1.1</t>
  </si>
  <si>
    <t>2.2.2</t>
  </si>
  <si>
    <t>1.1.2</t>
  </si>
  <si>
    <t>2.1.1</t>
  </si>
  <si>
    <t>3.3.3</t>
  </si>
  <si>
    <t>1.1.3</t>
  </si>
  <si>
    <t xml:space="preserve">	1.2.1</t>
  </si>
  <si>
    <t>1.2.2</t>
  </si>
  <si>
    <t>2.1.2</t>
  </si>
  <si>
    <t>4.2.2</t>
  </si>
  <si>
    <t xml:space="preserve">	1.2.3</t>
  </si>
  <si>
    <t>3.1.1</t>
  </si>
  <si>
    <t xml:space="preserve">	2.2.1</t>
  </si>
  <si>
    <t xml:space="preserve">	3.1.2</t>
  </si>
  <si>
    <t>3.2.1</t>
  </si>
  <si>
    <t xml:space="preserve">	3.2.2</t>
  </si>
  <si>
    <t>3.2.3</t>
  </si>
  <si>
    <t xml:space="preserve">	3.3.1</t>
  </si>
  <si>
    <t xml:space="preserve">	3.3.2</t>
  </si>
  <si>
    <t>3.4.1</t>
  </si>
  <si>
    <t>3.4.2</t>
  </si>
  <si>
    <t>3.4.3</t>
  </si>
  <si>
    <t>4.1.1</t>
  </si>
  <si>
    <t xml:space="preserve">	4.1.2</t>
  </si>
  <si>
    <t>4.2.1</t>
  </si>
  <si>
    <t>3.2.2</t>
  </si>
  <si>
    <t xml:space="preserve">	3.2.1</t>
  </si>
  <si>
    <t xml:space="preserve">	3.1.1</t>
  </si>
  <si>
    <t xml:space="preserve">	2.2.2</t>
  </si>
  <si>
    <t xml:space="preserve">	2.1.2</t>
  </si>
  <si>
    <t xml:space="preserve">	1.2.2</t>
  </si>
  <si>
    <t xml:space="preserve">	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</si>
</sst>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₽&quot;;[Red]\-#,##0\ &quot;₽&quot;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6" fontId="1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0" borderId="1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M8" sqref="M8"/>
    </sheetView>
  </sheetViews>
  <sheetFormatPr defaultRowHeight="18.75" x14ac:dyDescent="0.25"/>
  <cols>
    <col min="1" max="1" width="10.85546875" style="8" bestFit="1" customWidth="1"/>
    <col min="2" max="2" width="46" style="5" bestFit="1" customWidth="1"/>
    <col min="3" max="3" width="18.85546875" style="5" bestFit="1" customWidth="1"/>
    <col min="4" max="4" width="23.28515625" style="8" bestFit="1" customWidth="1"/>
    <col min="5" max="5" width="8.42578125" style="5" bestFit="1" customWidth="1"/>
    <col min="6" max="6" width="8.5703125" style="5" bestFit="1" customWidth="1"/>
    <col min="7" max="7" width="8.42578125" style="5" bestFit="1" customWidth="1"/>
    <col min="8" max="8" width="8.28515625" style="5" bestFit="1" customWidth="1"/>
    <col min="9" max="9" width="20.140625" style="8" bestFit="1" customWidth="1"/>
    <col min="10" max="10" width="15" style="5" bestFit="1" customWidth="1"/>
    <col min="11" max="11" width="17.140625" style="5" bestFit="1" customWidth="1"/>
    <col min="12" max="16384" width="9.140625" style="5"/>
  </cols>
  <sheetData>
    <row r="1" spans="1:11" x14ac:dyDescent="0.25">
      <c r="A1" s="6" t="s">
        <v>0</v>
      </c>
      <c r="B1" s="4" t="s">
        <v>1</v>
      </c>
      <c r="C1" s="4" t="s">
        <v>2</v>
      </c>
      <c r="D1" s="6" t="s">
        <v>3</v>
      </c>
      <c r="E1" s="4" t="s">
        <v>45</v>
      </c>
      <c r="F1" s="4" t="s">
        <v>49</v>
      </c>
      <c r="G1" s="4" t="s">
        <v>46</v>
      </c>
      <c r="H1" s="4" t="s">
        <v>48</v>
      </c>
      <c r="I1" s="6" t="s">
        <v>47</v>
      </c>
      <c r="J1" s="4" t="s">
        <v>4</v>
      </c>
      <c r="K1" s="4" t="s">
        <v>5</v>
      </c>
    </row>
    <row r="2" spans="1:11" x14ac:dyDescent="0.25">
      <c r="A2" s="7" t="s">
        <v>50</v>
      </c>
      <c r="B2" s="1" t="s">
        <v>6</v>
      </c>
      <c r="C2" s="1" t="s">
        <v>7</v>
      </c>
      <c r="D2" s="7" t="s">
        <v>8</v>
      </c>
      <c r="E2" s="1">
        <v>14</v>
      </c>
      <c r="F2" s="1">
        <v>18</v>
      </c>
      <c r="G2" s="1">
        <v>28</v>
      </c>
      <c r="H2" s="1">
        <f>(E2 + 4*F2 + G2) / 6</f>
        <v>19</v>
      </c>
      <c r="I2" s="9">
        <f>((G2 - E2) / 6)^2</f>
        <v>5.4444444444444455</v>
      </c>
      <c r="J2" s="1">
        <v>600</v>
      </c>
      <c r="K2" s="2">
        <f>H2 * J2</f>
        <v>11400</v>
      </c>
    </row>
    <row r="3" spans="1:11" x14ac:dyDescent="0.25">
      <c r="A3" s="7" t="s">
        <v>52</v>
      </c>
      <c r="B3" s="1" t="s">
        <v>9</v>
      </c>
      <c r="C3" s="1" t="s">
        <v>7</v>
      </c>
      <c r="D3" s="7" t="s">
        <v>10</v>
      </c>
      <c r="E3" s="1">
        <v>12</v>
      </c>
      <c r="F3" s="1">
        <v>16</v>
      </c>
      <c r="G3" s="1">
        <v>26</v>
      </c>
      <c r="H3" s="1">
        <f t="shared" ref="H3:H27" si="0">(E3 + 4*F3 + G3) / 6</f>
        <v>17</v>
      </c>
      <c r="I3" s="9">
        <f t="shared" ref="I3:I26" si="1">((G3 - E3) / 6)^2</f>
        <v>5.4444444444444455</v>
      </c>
      <c r="J3" s="1">
        <v>600</v>
      </c>
      <c r="K3" s="2">
        <f t="shared" ref="K3:K26" si="2">H3 * J3</f>
        <v>10200</v>
      </c>
    </row>
    <row r="4" spans="1:11" x14ac:dyDescent="0.25">
      <c r="A4" s="7" t="s">
        <v>55</v>
      </c>
      <c r="B4" s="1" t="s">
        <v>11</v>
      </c>
      <c r="C4" s="1" t="s">
        <v>7</v>
      </c>
      <c r="D4" s="7" t="s">
        <v>81</v>
      </c>
      <c r="E4" s="1">
        <v>8</v>
      </c>
      <c r="F4" s="1">
        <v>10</v>
      </c>
      <c r="G4" s="1">
        <v>18</v>
      </c>
      <c r="H4" s="1">
        <f t="shared" si="0"/>
        <v>11</v>
      </c>
      <c r="I4" s="9">
        <f t="shared" si="1"/>
        <v>2.7777777777777781</v>
      </c>
      <c r="J4" s="1">
        <v>600</v>
      </c>
      <c r="K4" s="2">
        <f t="shared" si="2"/>
        <v>6600</v>
      </c>
    </row>
    <row r="5" spans="1:11" x14ac:dyDescent="0.25">
      <c r="A5" s="7" t="s">
        <v>56</v>
      </c>
      <c r="B5" s="1" t="s">
        <v>12</v>
      </c>
      <c r="C5" s="1" t="s">
        <v>13</v>
      </c>
      <c r="D5" s="7" t="s">
        <v>81</v>
      </c>
      <c r="E5" s="1">
        <v>10</v>
      </c>
      <c r="F5" s="1">
        <v>14</v>
      </c>
      <c r="G5" s="1">
        <v>24</v>
      </c>
      <c r="H5" s="1">
        <f t="shared" si="0"/>
        <v>15</v>
      </c>
      <c r="I5" s="9">
        <f t="shared" si="1"/>
        <v>5.4444444444444455</v>
      </c>
      <c r="J5" s="1">
        <v>450</v>
      </c>
      <c r="K5" s="2">
        <f t="shared" si="2"/>
        <v>6750</v>
      </c>
    </row>
    <row r="6" spans="1:11" x14ac:dyDescent="0.25">
      <c r="A6" s="7" t="s">
        <v>57</v>
      </c>
      <c r="B6" s="1" t="s">
        <v>14</v>
      </c>
      <c r="C6" s="1" t="s">
        <v>13</v>
      </c>
      <c r="D6" s="7" t="s">
        <v>15</v>
      </c>
      <c r="E6" s="1">
        <v>10</v>
      </c>
      <c r="F6" s="1">
        <v>14</v>
      </c>
      <c r="G6" s="1">
        <v>24</v>
      </c>
      <c r="H6" s="1">
        <f t="shared" si="0"/>
        <v>15</v>
      </c>
      <c r="I6" s="9">
        <f t="shared" si="1"/>
        <v>5.4444444444444455</v>
      </c>
      <c r="J6" s="1">
        <v>450</v>
      </c>
      <c r="K6" s="2">
        <f t="shared" si="2"/>
        <v>6750</v>
      </c>
    </row>
    <row r="7" spans="1:11" x14ac:dyDescent="0.25">
      <c r="A7" s="7" t="s">
        <v>60</v>
      </c>
      <c r="B7" s="1" t="s">
        <v>16</v>
      </c>
      <c r="C7" s="1" t="s">
        <v>7</v>
      </c>
      <c r="D7" s="7" t="s">
        <v>80</v>
      </c>
      <c r="E7" s="1">
        <v>12</v>
      </c>
      <c r="F7" s="1">
        <v>16</v>
      </c>
      <c r="G7" s="1">
        <v>26</v>
      </c>
      <c r="H7" s="1">
        <f t="shared" si="0"/>
        <v>17</v>
      </c>
      <c r="I7" s="9">
        <f t="shared" si="1"/>
        <v>5.4444444444444455</v>
      </c>
      <c r="J7" s="1">
        <v>600</v>
      </c>
      <c r="K7" s="2">
        <f t="shared" si="2"/>
        <v>10200</v>
      </c>
    </row>
    <row r="8" spans="1:11" x14ac:dyDescent="0.25">
      <c r="A8" s="7" t="s">
        <v>53</v>
      </c>
      <c r="B8" s="1" t="s">
        <v>17</v>
      </c>
      <c r="C8" s="1" t="s">
        <v>18</v>
      </c>
      <c r="D8" s="7" t="s">
        <v>8</v>
      </c>
      <c r="E8" s="1">
        <v>10</v>
      </c>
      <c r="F8" s="1">
        <v>14</v>
      </c>
      <c r="G8" s="1">
        <v>24</v>
      </c>
      <c r="H8" s="1">
        <f t="shared" si="0"/>
        <v>15</v>
      </c>
      <c r="I8" s="9">
        <f t="shared" si="1"/>
        <v>5.4444444444444455</v>
      </c>
      <c r="J8" s="1">
        <v>500</v>
      </c>
      <c r="K8" s="2">
        <f t="shared" si="2"/>
        <v>7500</v>
      </c>
    </row>
    <row r="9" spans="1:11" x14ac:dyDescent="0.25">
      <c r="A9" s="7" t="s">
        <v>58</v>
      </c>
      <c r="B9" s="1" t="s">
        <v>19</v>
      </c>
      <c r="C9" s="1" t="s">
        <v>18</v>
      </c>
      <c r="D9" s="7" t="s">
        <v>20</v>
      </c>
      <c r="E9" s="1">
        <v>14</v>
      </c>
      <c r="F9" s="1">
        <v>18</v>
      </c>
      <c r="G9" s="1">
        <v>28</v>
      </c>
      <c r="H9" s="1">
        <f t="shared" si="0"/>
        <v>19</v>
      </c>
      <c r="I9" s="9">
        <f t="shared" si="1"/>
        <v>5.4444444444444455</v>
      </c>
      <c r="J9" s="1">
        <v>500</v>
      </c>
      <c r="K9" s="2">
        <f t="shared" si="2"/>
        <v>9500</v>
      </c>
    </row>
    <row r="10" spans="1:11" x14ac:dyDescent="0.25">
      <c r="A10" s="7" t="s">
        <v>62</v>
      </c>
      <c r="B10" s="1" t="s">
        <v>21</v>
      </c>
      <c r="C10" s="1" t="s">
        <v>22</v>
      </c>
      <c r="D10" s="7" t="s">
        <v>79</v>
      </c>
      <c r="E10" s="1">
        <v>22</v>
      </c>
      <c r="F10" s="1">
        <v>28</v>
      </c>
      <c r="G10" s="1">
        <v>46</v>
      </c>
      <c r="H10" s="1">
        <f t="shared" si="0"/>
        <v>30</v>
      </c>
      <c r="I10" s="9">
        <f t="shared" si="1"/>
        <v>16</v>
      </c>
      <c r="J10" s="1">
        <v>550</v>
      </c>
      <c r="K10" s="2">
        <f t="shared" si="2"/>
        <v>16500</v>
      </c>
    </row>
    <row r="11" spans="1:11" x14ac:dyDescent="0.25">
      <c r="A11" s="7" t="s">
        <v>51</v>
      </c>
      <c r="B11" s="1" t="s">
        <v>23</v>
      </c>
      <c r="C11" s="1" t="s">
        <v>24</v>
      </c>
      <c r="D11" s="7" t="s">
        <v>58</v>
      </c>
      <c r="E11" s="1">
        <v>10</v>
      </c>
      <c r="F11" s="1">
        <v>14</v>
      </c>
      <c r="G11" s="1">
        <v>24</v>
      </c>
      <c r="H11" s="1">
        <f t="shared" si="0"/>
        <v>15</v>
      </c>
      <c r="I11" s="9">
        <f t="shared" si="1"/>
        <v>5.4444444444444455</v>
      </c>
      <c r="J11" s="1">
        <v>550</v>
      </c>
      <c r="K11" s="2">
        <f t="shared" si="2"/>
        <v>8250</v>
      </c>
    </row>
    <row r="12" spans="1:11" x14ac:dyDescent="0.25">
      <c r="A12" s="7" t="s">
        <v>61</v>
      </c>
      <c r="B12" s="1" t="s">
        <v>25</v>
      </c>
      <c r="C12" s="1" t="s">
        <v>24</v>
      </c>
      <c r="D12" s="7" t="s">
        <v>78</v>
      </c>
      <c r="E12" s="1">
        <v>8</v>
      </c>
      <c r="F12" s="1">
        <v>12</v>
      </c>
      <c r="G12" s="1">
        <v>22</v>
      </c>
      <c r="H12" s="1">
        <f t="shared" si="0"/>
        <v>13</v>
      </c>
      <c r="I12" s="9">
        <f t="shared" si="1"/>
        <v>5.4444444444444455</v>
      </c>
      <c r="J12" s="1">
        <v>550</v>
      </c>
      <c r="K12" s="2">
        <f t="shared" si="2"/>
        <v>7150</v>
      </c>
    </row>
    <row r="13" spans="1:11" x14ac:dyDescent="0.25">
      <c r="A13" s="7" t="s">
        <v>63</v>
      </c>
      <c r="B13" s="1" t="s">
        <v>26</v>
      </c>
      <c r="C13" s="1" t="s">
        <v>24</v>
      </c>
      <c r="D13" s="7" t="s">
        <v>77</v>
      </c>
      <c r="E13" s="1">
        <v>10</v>
      </c>
      <c r="F13" s="1">
        <v>14</v>
      </c>
      <c r="G13" s="1">
        <v>24</v>
      </c>
      <c r="H13" s="1">
        <f t="shared" si="0"/>
        <v>15</v>
      </c>
      <c r="I13" s="9">
        <f t="shared" si="1"/>
        <v>5.4444444444444455</v>
      </c>
      <c r="J13" s="1">
        <v>550</v>
      </c>
      <c r="K13" s="2">
        <f t="shared" si="2"/>
        <v>8250</v>
      </c>
    </row>
    <row r="14" spans="1:11" x14ac:dyDescent="0.25">
      <c r="A14" s="7" t="s">
        <v>64</v>
      </c>
      <c r="B14" s="1" t="s">
        <v>27</v>
      </c>
      <c r="C14" s="1" t="s">
        <v>24</v>
      </c>
      <c r="D14" s="7" t="s">
        <v>28</v>
      </c>
      <c r="E14" s="1">
        <v>12</v>
      </c>
      <c r="F14" s="1">
        <v>16</v>
      </c>
      <c r="G14" s="1">
        <v>26</v>
      </c>
      <c r="H14" s="1">
        <f t="shared" si="0"/>
        <v>17</v>
      </c>
      <c r="I14" s="9">
        <f t="shared" si="1"/>
        <v>5.4444444444444455</v>
      </c>
      <c r="J14" s="1">
        <v>550</v>
      </c>
      <c r="K14" s="2">
        <f t="shared" si="2"/>
        <v>9350</v>
      </c>
    </row>
    <row r="15" spans="1:11" x14ac:dyDescent="0.25">
      <c r="A15" s="7" t="s">
        <v>65</v>
      </c>
      <c r="B15" s="1" t="s">
        <v>29</v>
      </c>
      <c r="C15" s="1" t="s">
        <v>24</v>
      </c>
      <c r="D15" s="7" t="s">
        <v>76</v>
      </c>
      <c r="E15" s="1">
        <v>16</v>
      </c>
      <c r="F15" s="1">
        <v>22</v>
      </c>
      <c r="G15" s="1">
        <v>34</v>
      </c>
      <c r="H15" s="1">
        <f t="shared" si="0"/>
        <v>23</v>
      </c>
      <c r="I15" s="9">
        <f t="shared" si="1"/>
        <v>9</v>
      </c>
      <c r="J15" s="1">
        <v>550</v>
      </c>
      <c r="K15" s="2">
        <f t="shared" si="2"/>
        <v>12650</v>
      </c>
    </row>
    <row r="16" spans="1:11" x14ac:dyDescent="0.25">
      <c r="A16" s="7" t="s">
        <v>66</v>
      </c>
      <c r="B16" s="1" t="s">
        <v>30</v>
      </c>
      <c r="C16" s="1" t="s">
        <v>24</v>
      </c>
      <c r="D16" s="7" t="s">
        <v>65</v>
      </c>
      <c r="E16" s="1">
        <v>10</v>
      </c>
      <c r="F16" s="1">
        <v>14</v>
      </c>
      <c r="G16" s="1">
        <v>24</v>
      </c>
      <c r="H16" s="1">
        <f t="shared" si="0"/>
        <v>15</v>
      </c>
      <c r="I16" s="9">
        <f t="shared" si="1"/>
        <v>5.4444444444444455</v>
      </c>
      <c r="J16" s="1">
        <v>550</v>
      </c>
      <c r="K16" s="2">
        <f t="shared" si="2"/>
        <v>8250</v>
      </c>
    </row>
    <row r="17" spans="1:11" x14ac:dyDescent="0.25">
      <c r="A17" s="7" t="s">
        <v>67</v>
      </c>
      <c r="B17" s="1" t="s">
        <v>31</v>
      </c>
      <c r="C17" s="1" t="s">
        <v>24</v>
      </c>
      <c r="D17" s="7" t="s">
        <v>65</v>
      </c>
      <c r="E17" s="1">
        <v>14</v>
      </c>
      <c r="F17" s="1">
        <v>18</v>
      </c>
      <c r="G17" s="1">
        <v>34</v>
      </c>
      <c r="H17" s="1">
        <f t="shared" si="0"/>
        <v>20</v>
      </c>
      <c r="I17" s="9">
        <f t="shared" si="1"/>
        <v>11.111111111111112</v>
      </c>
      <c r="J17" s="1">
        <v>550</v>
      </c>
      <c r="K17" s="2">
        <f t="shared" si="2"/>
        <v>11000</v>
      </c>
    </row>
    <row r="18" spans="1:11" x14ac:dyDescent="0.25">
      <c r="A18" s="7" t="s">
        <v>68</v>
      </c>
      <c r="B18" s="1" t="s">
        <v>32</v>
      </c>
      <c r="C18" s="1" t="s">
        <v>24</v>
      </c>
      <c r="D18" s="7" t="s">
        <v>67</v>
      </c>
      <c r="E18" s="1">
        <v>12</v>
      </c>
      <c r="F18" s="1">
        <v>16</v>
      </c>
      <c r="G18" s="1">
        <v>26</v>
      </c>
      <c r="H18" s="1">
        <f t="shared" si="0"/>
        <v>17</v>
      </c>
      <c r="I18" s="9">
        <f t="shared" si="1"/>
        <v>5.4444444444444455</v>
      </c>
      <c r="J18" s="1">
        <v>550</v>
      </c>
      <c r="K18" s="2">
        <f t="shared" si="2"/>
        <v>9350</v>
      </c>
    </row>
    <row r="19" spans="1:11" x14ac:dyDescent="0.25">
      <c r="A19" s="7" t="s">
        <v>54</v>
      </c>
      <c r="B19" s="1" t="s">
        <v>33</v>
      </c>
      <c r="C19" s="1" t="s">
        <v>24</v>
      </c>
      <c r="D19" s="7" t="s">
        <v>67</v>
      </c>
      <c r="E19" s="1">
        <v>8</v>
      </c>
      <c r="F19" s="1">
        <v>12</v>
      </c>
      <c r="G19" s="1">
        <v>22</v>
      </c>
      <c r="H19" s="1">
        <f t="shared" si="0"/>
        <v>13</v>
      </c>
      <c r="I19" s="9">
        <f t="shared" si="1"/>
        <v>5.4444444444444455</v>
      </c>
      <c r="J19" s="1">
        <v>550</v>
      </c>
      <c r="K19" s="2">
        <f t="shared" si="2"/>
        <v>7150</v>
      </c>
    </row>
    <row r="20" spans="1:11" x14ac:dyDescent="0.25">
      <c r="A20" s="7" t="s">
        <v>69</v>
      </c>
      <c r="B20" s="1" t="s">
        <v>34</v>
      </c>
      <c r="C20" s="1" t="s">
        <v>24</v>
      </c>
      <c r="D20" s="7" t="s">
        <v>75</v>
      </c>
      <c r="E20" s="1">
        <v>10</v>
      </c>
      <c r="F20" s="1">
        <v>14</v>
      </c>
      <c r="G20" s="1">
        <v>24</v>
      </c>
      <c r="H20" s="1">
        <f t="shared" si="0"/>
        <v>15</v>
      </c>
      <c r="I20" s="9">
        <f t="shared" si="1"/>
        <v>5.4444444444444455</v>
      </c>
      <c r="J20" s="1">
        <v>550</v>
      </c>
      <c r="K20" s="2">
        <f t="shared" si="2"/>
        <v>8250</v>
      </c>
    </row>
    <row r="21" spans="1:11" x14ac:dyDescent="0.25">
      <c r="A21" s="7" t="s">
        <v>70</v>
      </c>
      <c r="B21" s="1" t="s">
        <v>35</v>
      </c>
      <c r="C21" s="1" t="s">
        <v>24</v>
      </c>
      <c r="D21" s="7" t="s">
        <v>75</v>
      </c>
      <c r="E21" s="1">
        <v>6</v>
      </c>
      <c r="F21" s="1">
        <v>8</v>
      </c>
      <c r="G21" s="1">
        <v>16</v>
      </c>
      <c r="H21" s="1">
        <f t="shared" si="0"/>
        <v>9</v>
      </c>
      <c r="I21" s="9">
        <f t="shared" si="1"/>
        <v>2.7777777777777781</v>
      </c>
      <c r="J21" s="1">
        <v>550</v>
      </c>
      <c r="K21" s="2">
        <f t="shared" si="2"/>
        <v>4950</v>
      </c>
    </row>
    <row r="22" spans="1:11" x14ac:dyDescent="0.25">
      <c r="A22" s="7" t="s">
        <v>71</v>
      </c>
      <c r="B22" s="1" t="s">
        <v>36</v>
      </c>
      <c r="C22" s="1" t="s">
        <v>24</v>
      </c>
      <c r="D22" s="7" t="s">
        <v>75</v>
      </c>
      <c r="E22" s="1">
        <v>6</v>
      </c>
      <c r="F22" s="1">
        <v>8</v>
      </c>
      <c r="G22" s="1">
        <v>16</v>
      </c>
      <c r="H22" s="1">
        <f t="shared" si="0"/>
        <v>9</v>
      </c>
      <c r="I22" s="9">
        <f t="shared" si="1"/>
        <v>2.7777777777777781</v>
      </c>
      <c r="J22" s="1">
        <v>550</v>
      </c>
      <c r="K22" s="2">
        <f t="shared" si="2"/>
        <v>4950</v>
      </c>
    </row>
    <row r="23" spans="1:11" x14ac:dyDescent="0.25">
      <c r="A23" s="7" t="s">
        <v>72</v>
      </c>
      <c r="B23" s="1" t="s">
        <v>37</v>
      </c>
      <c r="C23" s="1" t="s">
        <v>24</v>
      </c>
      <c r="D23" s="7" t="s">
        <v>38</v>
      </c>
      <c r="E23" s="1">
        <v>6</v>
      </c>
      <c r="F23" s="1">
        <v>8</v>
      </c>
      <c r="G23" s="1">
        <v>16</v>
      </c>
      <c r="H23" s="1">
        <f t="shared" si="0"/>
        <v>9</v>
      </c>
      <c r="I23" s="9">
        <f t="shared" si="1"/>
        <v>2.7777777777777781</v>
      </c>
      <c r="J23" s="1">
        <v>550</v>
      </c>
      <c r="K23" s="2">
        <f t="shared" si="2"/>
        <v>4950</v>
      </c>
    </row>
    <row r="24" spans="1:11" x14ac:dyDescent="0.25">
      <c r="A24" s="7" t="s">
        <v>73</v>
      </c>
      <c r="B24" s="1" t="s">
        <v>39</v>
      </c>
      <c r="C24" s="1" t="s">
        <v>18</v>
      </c>
      <c r="D24" s="7" t="s">
        <v>40</v>
      </c>
      <c r="E24" s="1">
        <v>8</v>
      </c>
      <c r="F24" s="1">
        <v>12</v>
      </c>
      <c r="G24" s="1">
        <v>22</v>
      </c>
      <c r="H24" s="1">
        <f t="shared" si="0"/>
        <v>13</v>
      </c>
      <c r="I24" s="9">
        <f t="shared" si="1"/>
        <v>5.4444444444444455</v>
      </c>
      <c r="J24" s="1">
        <v>500</v>
      </c>
      <c r="K24" s="2">
        <f t="shared" si="2"/>
        <v>6500</v>
      </c>
    </row>
    <row r="25" spans="1:11" x14ac:dyDescent="0.25">
      <c r="A25" s="7" t="s">
        <v>74</v>
      </c>
      <c r="B25" s="1" t="s">
        <v>41</v>
      </c>
      <c r="C25" s="1" t="s">
        <v>24</v>
      </c>
      <c r="D25" s="7" t="s">
        <v>72</v>
      </c>
      <c r="E25" s="1">
        <v>6</v>
      </c>
      <c r="F25" s="1">
        <v>8</v>
      </c>
      <c r="G25" s="1">
        <v>16</v>
      </c>
      <c r="H25" s="1">
        <f t="shared" si="0"/>
        <v>9</v>
      </c>
      <c r="I25" s="9">
        <f t="shared" si="1"/>
        <v>2.7777777777777781</v>
      </c>
      <c r="J25" s="1">
        <v>550</v>
      </c>
      <c r="K25" s="2">
        <f t="shared" si="2"/>
        <v>4950</v>
      </c>
    </row>
    <row r="26" spans="1:11" x14ac:dyDescent="0.25">
      <c r="A26" s="7" t="s">
        <v>59</v>
      </c>
      <c r="B26" s="1" t="s">
        <v>42</v>
      </c>
      <c r="C26" s="1" t="s">
        <v>18</v>
      </c>
      <c r="D26" s="7" t="s">
        <v>43</v>
      </c>
      <c r="E26" s="1">
        <v>12</v>
      </c>
      <c r="F26" s="1">
        <v>16</v>
      </c>
      <c r="G26" s="1">
        <v>26</v>
      </c>
      <c r="H26" s="1">
        <f t="shared" si="0"/>
        <v>17</v>
      </c>
      <c r="I26" s="9">
        <f t="shared" si="1"/>
        <v>5.4444444444444455</v>
      </c>
      <c r="J26" s="1">
        <v>500</v>
      </c>
      <c r="K26" s="2">
        <f t="shared" si="2"/>
        <v>8500</v>
      </c>
    </row>
    <row r="27" spans="1:11" x14ac:dyDescent="0.25">
      <c r="A27" s="7" t="s">
        <v>44</v>
      </c>
      <c r="B27" s="1"/>
      <c r="C27" s="1"/>
      <c r="D27" s="7"/>
      <c r="E27" s="1">
        <f>SUM(E2:E26)</f>
        <v>266</v>
      </c>
      <c r="F27" s="1">
        <f>SUM(F2:F26)</f>
        <v>360</v>
      </c>
      <c r="G27" s="1">
        <f>SUM(G2:G26)</f>
        <v>616</v>
      </c>
      <c r="H27" s="1">
        <f>SUM(H2:H26)</f>
        <v>387</v>
      </c>
      <c r="I27" s="7" t="s">
        <v>8</v>
      </c>
      <c r="J27" s="1" t="s">
        <v>8</v>
      </c>
      <c r="K27" s="3">
        <f>SUM(K2:K26)</f>
        <v>209850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C2EE-ABFC-4F6B-8328-3A720D4D5FD0}">
  <dimension ref="A1"/>
  <sheetViews>
    <sheetView workbookViewId="0">
      <selection activeCell="L5" sqref="L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Оценки пакетов ИСР</vt:lpstr>
      <vt:lpstr>Расчёт PERT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никита</cp:lastModifiedBy>
  <dcterms:created xsi:type="dcterms:W3CDTF">2015-06-05T18:19:34Z</dcterms:created>
  <dcterms:modified xsi:type="dcterms:W3CDTF">2026-10-16T12:17:50Z</dcterms:modified>
</cp:coreProperties>
</file>