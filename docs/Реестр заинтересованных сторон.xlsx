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ЗС" sheetId="1" state="visible" r:id="rId1"/>
    <sheet xmlns:r="http://schemas.openxmlformats.org/officeDocument/2006/relationships" name="Матрица влияние-интерес" sheetId="2" state="visible" r:id="rId2"/>
    <sheet xmlns:r="http://schemas.openxmlformats.org/officeDocument/2006/relationships" name="План коммуникаций" sheetId="3" state="visible" r:id="rId3"/>
    <sheet xmlns:r="http://schemas.openxmlformats.org/officeDocument/2006/relationships" name="Методика" sheetId="4" state="visible" r:id="rId4"/>
  </sheets>
  <definedNames>
    <definedName name="_xlnm._FilterDatabase" localSheetId="0" hidden="1">'Реестр ЗС'!$A$4:$O$19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.5"/>
    </font>
    <font>
      <name val="Arial"/>
      <b val="1"/>
      <color rgb="00FFFFFF"/>
      <sz val="10"/>
    </font>
    <font>
      <name val="Arial"/>
      <sz val="9.5"/>
    </font>
    <font>
      <name val="Arial"/>
      <b val="1"/>
      <sz val="9.5"/>
    </font>
    <font>
      <name val="Arial"/>
      <i val="1"/>
      <sz val="9"/>
    </font>
    <font>
      <name val="Arial"/>
      <b val="1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20" customWidth="1" min="4" max="4"/>
    <col width="30" customWidth="1" min="5" max="5"/>
    <col width="28" customWidth="1" min="6" max="6"/>
    <col width="20" customWidth="1" min="7" max="7"/>
    <col width="24" customWidth="1" min="8" max="8"/>
    <col width="9" customWidth="1" min="9" max="9"/>
    <col width="9" customWidth="1" min="10" max="10"/>
    <col width="10" customWidth="1" min="11" max="11"/>
    <col width="11" customWidth="1" min="12" max="12"/>
    <col width="14" customWidth="1" min="13" max="13"/>
    <col width="36" customWidth="1" min="14" max="14"/>
    <col width="36" customWidth="1" min="15" max="15"/>
  </cols>
  <sheetData>
    <row r="1">
      <c r="A1" s="1" t="inlineStr">
        <is>
          <t>Реестр заинтересованных сторон — Сервис онлайн-бронирования залов фотостудии</t>
        </is>
      </c>
    </row>
    <row r="2">
      <c r="A2" s="2" t="inlineStr">
        <is>
          <t>Руководитель проекта: [ФИО]   |   Версия 1.0 от 01.10.2026   |   Шкалы и правила — на листе «Методика»</t>
        </is>
      </c>
    </row>
    <row r="4" ht="42" customHeight="1">
      <c r="A4" s="3" t="inlineStr">
        <is>
          <t>№</t>
        </is>
      </c>
      <c r="B4" s="3" t="inlineStr">
        <is>
          <t>Заинтересованная сторона</t>
        </is>
      </c>
      <c r="C4" s="3" t="inlineStr">
        <is>
          <t>Категория</t>
        </is>
      </c>
      <c r="D4" s="3" t="inlineStr">
        <is>
          <t>Роль в проекте</t>
        </is>
      </c>
      <c r="E4" s="3" t="inlineStr">
        <is>
          <t>Требования</t>
        </is>
      </c>
      <c r="F4" s="3" t="inlineStr">
        <is>
          <t>Ожидания / опасения</t>
        </is>
      </c>
      <c r="G4" s="3" t="inlineStr">
        <is>
          <t>На что влияет (сроки / бюджет / содержание / другое)</t>
        </is>
      </c>
      <c r="H4" s="3" t="inlineStr">
        <is>
          <t>Методы влияния на проект</t>
        </is>
      </c>
      <c r="I4" s="3" t="inlineStr">
        <is>
          <t>Влияние (1–5)</t>
        </is>
      </c>
      <c r="J4" s="3" t="inlineStr">
        <is>
          <t>Интерес (1–5)</t>
        </is>
      </c>
      <c r="K4" s="3" t="inlineStr">
        <is>
          <t>Приоритет (В×И)</t>
        </is>
      </c>
      <c r="L4" s="3" t="inlineStr">
        <is>
          <t>Уровень приоритета</t>
        </is>
      </c>
      <c r="M4" s="3" t="inlineStr">
        <is>
          <t>Стратегия взаимодействия</t>
        </is>
      </c>
      <c r="N4" s="3" t="inlineStr">
        <is>
          <t>Что будем делать (управление отношениями)</t>
        </is>
      </c>
      <c r="O4" s="3" t="inlineStr">
        <is>
          <t>Что следует для проекта</t>
        </is>
      </c>
    </row>
    <row r="5">
      <c r="A5" s="4" t="n">
        <v>1</v>
      </c>
      <c r="B5" s="5" t="inlineStr">
        <is>
          <t>Владелец фотостудии (заказчик и спонсор; роль исполняет команда-заказчик)</t>
        </is>
      </c>
      <c r="C5" s="5" t="inlineStr">
        <is>
          <t>Внутренний (ключевой)</t>
        </is>
      </c>
      <c r="D5" s="5" t="inlineStr">
        <is>
          <t>Заказчик, спонсор, принимает результат</t>
        </is>
      </c>
      <c r="E5" s="5" t="inlineStr">
        <is>
          <t>Сервис без двойных броней; все сценарии из концепт-документа; соблюдение сроков семестра</t>
        </is>
      </c>
      <c r="F5" s="5" t="inlineStr">
        <is>
          <t>Снижение нагрузки на администратора, рост загрузки залов; опасение — «сырой» прототип</t>
        </is>
      </c>
      <c r="G5" s="5" t="inlineStr">
        <is>
          <t>Сроки, содержание, бюджет — высокое</t>
        </is>
      </c>
      <c r="H5" s="5" t="inlineStr">
        <is>
          <t>Утверждает устав, принимает/отклоняет инкременты, формирует запросы на изменения</t>
        </is>
      </c>
      <c r="I5" s="4" t="n">
        <v>5</v>
      </c>
      <c r="J5" s="4" t="n">
        <v>5</v>
      </c>
      <c r="K5" s="4">
        <f>I5*J5</f>
        <v/>
      </c>
      <c r="L5" s="4">
        <f>IF(K5&gt;=15,"Высокий",IF(K5&gt;=8,"Средний","Низкий"))</f>
        <v/>
      </c>
      <c r="M5" s="5" t="inlineStr">
        <is>
          <t>Управлять плотно</t>
        </is>
      </c>
      <c r="N5" s="5" t="inlineStr">
        <is>
          <t>Демо по итогам каждой итерации, согласование изменений через запрос на изменение, чат для вопросов (ответ ≤ 2 раб. дня)</t>
        </is>
      </c>
      <c r="O5" s="5" t="inlineStr">
        <is>
          <t>Т: чек-лист приёмки (устав 2.4); Р-02 изменение требований; О: изменения объёма только через журнал изменений</t>
        </is>
      </c>
    </row>
    <row r="6">
      <c r="A6" s="4" t="n">
        <v>2</v>
      </c>
      <c r="B6" s="5" t="inlineStr">
        <is>
          <t>Администратор студии</t>
        </is>
      </c>
      <c r="C6" s="5" t="inlineStr">
        <is>
          <t>Внутренний (ключевой пользователь)</t>
        </is>
      </c>
      <c r="D6" s="5" t="inlineStr">
        <is>
          <t>Пользователь кабинета администратора</t>
        </is>
      </c>
      <c r="E6" s="5" t="inlineStr">
        <is>
          <t>Сводное расписание 4 залов, ручной ввод броней по звонку/мессенджеру, закрытие слотов под уборку</t>
        </is>
      </c>
      <c r="F6" s="5" t="inlineStr">
        <is>
          <t>Меньше рутины и конфликтов с клиентами; опасение — неудобный интерфейс на ноутбуке</t>
        </is>
      </c>
      <c r="G6" s="5" t="inlineStr">
        <is>
          <t>Содержание — высокое</t>
        </is>
      </c>
      <c r="H6" s="5" t="inlineStr">
        <is>
          <t>Через заказчика: замечания на приёмке, отказ пользоваться системой</t>
        </is>
      </c>
      <c r="I6" s="4" t="n">
        <v>3</v>
      </c>
      <c r="J6" s="4" t="n">
        <v>5</v>
      </c>
      <c r="K6" s="4">
        <f>I6*J6</f>
        <v/>
      </c>
      <c r="L6" s="4">
        <f>IF(K6&gt;=15,"Высокий",IF(K6&gt;=8,"Средний","Низкий"))</f>
        <v/>
      </c>
      <c r="M6" s="5" t="inlineStr">
        <is>
          <t>Управлять плотно</t>
        </is>
      </c>
      <c r="N6" s="5" t="inlineStr">
        <is>
          <t>Сценарии администратора в каждой демонстрации (итерации 3–4), сбор замечаний по удобству через заказчика</t>
        </is>
      </c>
      <c r="O6" s="5" t="inlineStr">
        <is>
          <t>Т: пакеты 3.3.1–3.3.3; Т: ручная бронь (имя + телефон)</t>
        </is>
      </c>
    </row>
    <row r="7">
      <c r="A7" s="4" t="n">
        <v>3</v>
      </c>
      <c r="B7" s="5" t="inlineStr">
        <is>
          <t>Клиенты студии (фотографы, модели, частные лица)</t>
        </is>
      </c>
      <c r="C7" s="5" t="inlineStr">
        <is>
          <t>Внешний (пользователи)</t>
        </is>
      </c>
      <c r="D7" s="5" t="inlineStr">
        <is>
          <t>Конечные пользователи клиентской части</t>
        </is>
      </c>
      <c r="E7" s="5" t="inlineStr">
        <is>
          <t>Видеть свободные слоты и цену, бронировать с телефона, отменять/переносить бронь</t>
        </is>
      </c>
      <c r="F7" s="5" t="inlineStr">
        <is>
          <t>Быстрое бронирование 24/7 без переписки; опасение — потеря денег при отмене</t>
        </is>
      </c>
      <c r="G7" s="5" t="inlineStr">
        <is>
          <t>Содержание — среднее</t>
        </is>
      </c>
      <c r="H7" s="5" t="inlineStr">
        <is>
          <t>Выбор студии/канала бронирования: уйдут в мессенджеры или к конкурентам</t>
        </is>
      </c>
      <c r="I7" s="4" t="n">
        <v>3</v>
      </c>
      <c r="J7" s="4" t="n">
        <v>4</v>
      </c>
      <c r="K7" s="4">
        <f>I7*J7</f>
        <v/>
      </c>
      <c r="L7" s="4">
        <f>IF(K7&gt;=15,"Высокий",IF(K7&gt;=8,"Средний","Низкий"))</f>
        <v/>
      </c>
      <c r="M7" s="5" t="inlineStr">
        <is>
          <t>Управлять плотно</t>
        </is>
      </c>
      <c r="N7" s="5" t="inlineStr">
        <is>
          <t>Проверка интерфейса на 2–3 знакомых фотографах на итерации 2–3, учёт замечаний в бэклоге</t>
        </is>
      </c>
      <c r="O7" s="5" t="inlineStr">
        <is>
          <t>Т: адаптивная вёрстка (375 px), ≤ 5 шагов до брони; Т: отмена/перенос ≥ 24 ч; Р-05 низкое принятие</t>
        </is>
      </c>
    </row>
    <row r="8">
      <c r="A8" s="4" t="n">
        <v>4</v>
      </c>
      <c r="B8" s="5" t="inlineStr">
        <is>
          <t>Преподаватель практики (куратор проекта)</t>
        </is>
      </c>
      <c r="C8" s="5" t="inlineStr">
        <is>
          <t>Внутренний</t>
        </is>
      </c>
      <c r="D8" s="5" t="inlineStr">
        <is>
          <t>Куратор, оценивает артефакты, арбитр конфликтов</t>
        </is>
      </c>
      <c r="E8" s="5" t="inlineStr">
        <is>
          <t>Артефакты по требованиям задания, своевременная сдача, ведение трекера с учётом часов</t>
        </is>
      </c>
      <c r="F8" s="5" t="inlineStr">
        <is>
          <t>Равномерная работа команды и обоснованные решения</t>
        </is>
      </c>
      <c r="G8" s="5" t="inlineStr">
        <is>
          <t>Сроки, содержание (артефакты) — высокое</t>
        </is>
      </c>
      <c r="H8" s="5" t="inlineStr">
        <is>
          <t>Оценка, штрафные/бонусные баллы, решение конфликтов</t>
        </is>
      </c>
      <c r="I8" s="4" t="n">
        <v>5</v>
      </c>
      <c r="J8" s="4" t="n">
        <v>4</v>
      </c>
      <c r="K8" s="4">
        <f>I8*J8</f>
        <v/>
      </c>
      <c r="L8" s="4">
        <f>IF(K8&gt;=15,"Высокий",IF(K8&gt;=8,"Средний","Низкий"))</f>
        <v/>
      </c>
      <c r="M8" s="5" t="inlineStr">
        <is>
          <t>Управлять плотно</t>
        </is>
      </c>
      <c r="N8" s="5" t="inlineStr">
        <is>
          <t>Сдача артефактов на каждой паре, открытый доступ к трекеру и репозиторию, отчёт о статусе раз в 2 недели</t>
        </is>
      </c>
      <c r="O8" s="5" t="inlineStr">
        <is>
          <t>О: жёсткие сроки фаз (коэф. срока); Р-10 несвоевременная сдача; Т: учёт часов в трекере</t>
        </is>
      </c>
    </row>
    <row r="9">
      <c r="A9" s="4" t="n">
        <v>5</v>
      </c>
      <c r="B9" s="5" t="inlineStr">
        <is>
          <t>Руководитель проекта</t>
        </is>
      </c>
      <c r="C9" s="5" t="inlineStr">
        <is>
          <t>Внутренний</t>
        </is>
      </c>
      <c r="D9" s="5" t="inlineStr">
        <is>
          <t>Планирует и контролирует проект, отвечает за устав, реестр ЗС, ИСР</t>
        </is>
      </c>
      <c r="E9" s="5" t="inlineStr">
        <is>
          <t>Прозрачный статус задач, соблюдение договорённостей командой</t>
        </is>
      </c>
      <c r="F9" s="5" t="inlineStr">
        <is>
          <t>Сдать проект в срок и с высокой оценкой</t>
        </is>
      </c>
      <c r="G9" s="5" t="inlineStr">
        <is>
          <t>Сроки, бюджет, содержание — высокое</t>
        </is>
      </c>
      <c r="H9" s="5" t="inlineStr">
        <is>
          <t>Распределение задач, планирование, переговоры с заказчиком</t>
        </is>
      </c>
      <c r="I9" s="4" t="n">
        <v>5</v>
      </c>
      <c r="J9" s="4" t="n">
        <v>5</v>
      </c>
      <c r="K9" s="4">
        <f>I9*J9</f>
        <v/>
      </c>
      <c r="L9" s="4">
        <f>IF(K9&gt;=15,"Высокий",IF(K9&gt;=8,"Средний","Низкий"))</f>
        <v/>
      </c>
      <c r="M9" s="5" t="inlineStr">
        <is>
          <t>Управлять плотно</t>
        </is>
      </c>
      <c r="N9" s="5" t="inlineStr">
        <is>
          <t>—</t>
        </is>
      </c>
      <c r="O9" s="5" t="inlineStr">
        <is>
          <t>Полномочия РП (устав 4.2)</t>
        </is>
      </c>
    </row>
    <row r="10">
      <c r="A10" s="4" t="n">
        <v>6</v>
      </c>
      <c r="B10" s="5" t="inlineStr">
        <is>
          <t>Команда проекта (4 участника: аналитик, backend, frontend, тестировщик/DevOps)</t>
        </is>
      </c>
      <c r="C10" s="5" t="inlineStr">
        <is>
          <t>Внутренний</t>
        </is>
      </c>
      <c r="D10" s="5" t="inlineStr">
        <is>
          <t>Исполнители работ</t>
        </is>
      </c>
      <c r="E10" s="5" t="inlineStr">
        <is>
          <t>Чёткие задачи, реалистичные оценки, учёт учебной нагрузки</t>
        </is>
      </c>
      <c r="F10" s="5" t="inlineStr">
        <is>
          <t>Получить опыт и хорошую оценку; опасение — перегрузка в период сессии</t>
        </is>
      </c>
      <c r="G10" s="5" t="inlineStr">
        <is>
          <t>Сроки, содержание — высокое</t>
        </is>
      </c>
      <c r="H10" s="5" t="inlineStr">
        <is>
          <t>Качество и скорость работы, оценки трудоёмкости</t>
        </is>
      </c>
      <c r="I10" s="4" t="n">
        <v>4</v>
      </c>
      <c r="J10" s="4" t="n">
        <v>5</v>
      </c>
      <c r="K10" s="4">
        <f>I10*J10</f>
        <v/>
      </c>
      <c r="L10" s="4">
        <f>IF(K10&gt;=15,"Высокий",IF(K10&gt;=8,"Средний","Низкий"))</f>
        <v/>
      </c>
      <c r="M10" s="5" t="inlineStr">
        <is>
          <t>Управлять плотно</t>
        </is>
      </c>
      <c r="N10" s="5" t="inlineStr">
        <is>
          <t>Созвоны 2 раза в неделю по 15 мин, планирование и ретроспектива итераций, коллективная оценка (покер)</t>
        </is>
      </c>
      <c r="O10" s="5" t="inlineStr">
        <is>
          <t>О: фонд 6 ч/нед на человека; Р-03 нехватка времени; Р-07 недооценка трудоёмкости</t>
        </is>
      </c>
    </row>
    <row r="11">
      <c r="A11" s="4" t="n">
        <v>7</v>
      </c>
      <c r="B11" s="5" t="inlineStr">
        <is>
          <t>Администрация креативного кластера (арендодатель)</t>
        </is>
      </c>
      <c r="C11" s="5" t="inlineStr">
        <is>
          <t>Внешний</t>
        </is>
      </c>
      <c r="D11" s="5" t="inlineStr">
        <is>
          <t>Регулирующая сторона / арендодатель помещений</t>
        </is>
      </c>
      <c r="E11" s="5" t="inlineStr">
        <is>
          <t>Режим работы здания строго 09:00–23:00, запрет ночных съёмок и шума</t>
        </is>
      </c>
      <c r="F11" s="5" t="inlineStr">
        <is>
          <t>Отсутствие скоплений людей на проходной</t>
        </is>
      </c>
      <c r="G11" s="5" t="inlineStr">
        <is>
          <t>Содержание — высокое; другое — правила аренды</t>
        </is>
      </c>
      <c r="H11" s="5" t="inlineStr">
        <is>
          <t>Правила аренды, штрафы, расторжение договора аренды</t>
        </is>
      </c>
      <c r="I11" s="4" t="n">
        <v>3</v>
      </c>
      <c r="J11" s="4" t="n">
        <v>2</v>
      </c>
      <c r="K11" s="4">
        <f>I11*J11</f>
        <v/>
      </c>
      <c r="L11" s="4">
        <f>IF(K11&gt;=15,"Высокий",IF(K11&gt;=8,"Средний","Низкий"))</f>
        <v/>
      </c>
      <c r="M11" s="5" t="inlineStr">
        <is>
          <t>Удовлетворять</t>
        </is>
      </c>
      <c r="N11" s="5" t="inlineStr">
        <is>
          <t>Ограничить сетку слотов интервалом 09:00–23:00, заблокировать выбор ночных часов</t>
        </is>
      </c>
      <c r="O11" s="5" t="inlineStr">
        <is>
          <t>О: слоты только 09:00–23:00 (пакет 3.4.1); Р-09 жалобы/штрафы</t>
        </is>
      </c>
    </row>
    <row r="12">
      <c r="A12" s="4" t="n">
        <v>8</v>
      </c>
      <c r="B12" s="5" t="inlineStr">
        <is>
          <t>Клининговая служба (подрядчик по уборке)</t>
        </is>
      </c>
      <c r="C12" s="5" t="inlineStr">
        <is>
          <t>Внешний</t>
        </is>
      </c>
      <c r="D12" s="5" t="inlineStr">
        <is>
          <t>Сервисный подрядчик студии</t>
        </is>
      </c>
      <c r="E12" s="5" t="inlineStr">
        <is>
          <t>Время между масштабными съёмками для влажной уборки и покраски циклорамы</t>
        </is>
      </c>
      <c r="F12" s="5" t="inlineStr">
        <is>
          <t>Прозрачный график, своевременное освобождение залов</t>
        </is>
      </c>
      <c r="G12" s="5" t="inlineStr">
        <is>
          <t>Содержание — среднее</t>
        </is>
      </c>
      <c r="H12" s="5" t="inlineStr">
        <is>
          <t>Через администратора: срыв уборки → невозможность провести следующую съёмку</t>
        </is>
      </c>
      <c r="I12" s="4" t="n">
        <v>2</v>
      </c>
      <c r="J12" s="4" t="n">
        <v>4</v>
      </c>
      <c r="K12" s="4">
        <f>I12*J12</f>
        <v/>
      </c>
      <c r="L12" s="4">
        <f>IF(K12&gt;=15,"Высокий",IF(K12&gt;=8,"Средний","Низкий"))</f>
        <v/>
      </c>
      <c r="M12" s="5" t="inlineStr">
        <is>
          <t>Информировать</t>
        </is>
      </c>
      <c r="N12" s="5" t="inlineStr">
        <is>
          <t>Функция ручного закрытия слота под «Уборку/Ремонт» в кабинете администратора</t>
        </is>
      </c>
      <c r="O12" s="5" t="inlineStr">
        <is>
          <t>Т: блокировка слотов (пакет 3.3.3)</t>
        </is>
      </c>
    </row>
    <row r="13">
      <c r="A13" s="4" t="n">
        <v>9</v>
      </c>
      <c r="B13" s="5" t="inlineStr">
        <is>
          <t>Соседние арендаторы этажа (офисы, мастерские)</t>
        </is>
      </c>
      <c r="C13" s="5" t="inlineStr">
        <is>
          <t>Внешний</t>
        </is>
      </c>
      <c r="D13" s="5" t="inlineStr">
        <is>
          <t>Затронутая третья сторона</t>
        </is>
      </c>
      <c r="E13" s="5" t="inlineStr">
        <is>
          <t>Тишина в местах общего пользования, свободные коридоры</t>
        </is>
      </c>
      <c r="F13" s="5" t="inlineStr">
        <is>
          <t>Нет очередей перед студией из-за накладок</t>
        </is>
      </c>
      <c r="G13" s="5" t="inlineStr">
        <is>
          <t>Другое — жалобы арендодателю</t>
        </is>
      </c>
      <c r="H13" s="5" t="inlineStr">
        <is>
          <t>Жалобы арендодателю</t>
        </is>
      </c>
      <c r="I13" s="4" t="n">
        <v>2</v>
      </c>
      <c r="J13" s="4" t="n">
        <v>2</v>
      </c>
      <c r="K13" s="4">
        <f>I13*J13</f>
        <v/>
      </c>
      <c r="L13" s="4">
        <f>IF(K13&gt;=15,"Высокий",IF(K13&gt;=8,"Средний","Низкий"))</f>
        <v/>
      </c>
      <c r="M13" s="5" t="inlineStr">
        <is>
          <t>Мониторить</t>
        </is>
      </c>
      <c r="N13" s="5" t="inlineStr">
        <is>
          <t>Исключить овербукинг на уровне БД, чтобы клиенты не ждали в коридоре</t>
        </is>
      </c>
      <c r="O13" s="5" t="inlineStr">
        <is>
          <t>Т: защита от двойных броней (3.4.1); Р-01 двойные брони; Р-09 жалобы</t>
        </is>
      </c>
    </row>
    <row r="14">
      <c r="A14" s="4" t="n">
        <v>10</v>
      </c>
      <c r="B14" s="5" t="inlineStr">
        <is>
          <t>Партнёрская служба аренды фототехники (рентал)</t>
        </is>
      </c>
      <c r="C14" s="5" t="inlineStr">
        <is>
          <t>Внешний</t>
        </is>
      </c>
      <c r="D14" s="5" t="inlineStr">
        <is>
          <t>Внешний партнёр / поставщик оборудования</t>
        </is>
      </c>
      <c r="E14" s="5" t="inlineStr">
        <is>
          <t>Заблаговременно знать о нужном свете и оборудовании</t>
        </is>
      </c>
      <c r="F14" s="5" t="inlineStr">
        <is>
          <t>Больше заказов на доп. оборудование</t>
        </is>
      </c>
      <c r="G14" s="5" t="inlineStr">
        <is>
          <t>Содержание — низкое</t>
        </is>
      </c>
      <c r="H14" s="5" t="inlineStr">
        <is>
          <t>Через администратора: неготовность оборудования к съёмке</t>
        </is>
      </c>
      <c r="I14" s="4" t="n">
        <v>2</v>
      </c>
      <c r="J14" s="4" t="n">
        <v>3</v>
      </c>
      <c r="K14" s="4">
        <f>I14*J14</f>
        <v/>
      </c>
      <c r="L14" s="4">
        <f>IF(K14&gt;=15,"Высокий",IF(K14&gt;=8,"Средний","Низкий"))</f>
        <v/>
      </c>
      <c r="M14" s="5" t="inlineStr">
        <is>
          <t>Информировать</t>
        </is>
      </c>
      <c r="N14" s="5" t="inlineStr">
        <is>
          <t>Поле «Комментарий к бронированию» в форме брони, отображается администратору</t>
        </is>
      </c>
      <c r="O14" s="5" t="inlineStr">
        <is>
          <t>Т: текстовый комментарий к брони (3.2.2); О: каталог оборудования вне границ проекта</t>
        </is>
      </c>
    </row>
    <row r="15">
      <c r="A15" s="4" t="n">
        <v>11</v>
      </c>
      <c r="B15" s="5" t="inlineStr">
        <is>
          <t>ФНС России / банк-эквайер</t>
        </is>
      </c>
      <c r="C15" s="5" t="inlineStr">
        <is>
          <t>Внешний</t>
        </is>
      </c>
      <c r="D15" s="5" t="inlineStr">
        <is>
          <t>Регулирующий орган / финансовый провайдер</t>
        </is>
      </c>
      <c r="E15" s="5" t="inlineStr">
        <is>
          <t>54-ФЗ (онлайн-касса, фискальные чеки), требования безопасности интернет-эквайринга</t>
        </is>
      </c>
      <c r="F15" s="5" t="inlineStr">
        <is>
          <t>Корректный налоговый учёт платежей</t>
        </is>
      </c>
      <c r="G15" s="5" t="inlineStr">
        <is>
          <t>Сроки, бюджет, содержание — высокое (при реальной оплате)</t>
        </is>
      </c>
      <c r="H15" s="5" t="inlineStr">
        <is>
          <t>Требования закона, договор эквайринга</t>
        </is>
      </c>
      <c r="I15" s="4" t="n">
        <v>4</v>
      </c>
      <c r="J15" s="4" t="n">
        <v>1</v>
      </c>
      <c r="K15" s="4">
        <f>I15*J15</f>
        <v/>
      </c>
      <c r="L15" s="4">
        <f>IF(K15&gt;=15,"Высокий",IF(K15&gt;=8,"Средний","Низкий"))</f>
        <v/>
      </c>
      <c r="M15" s="5" t="inlineStr">
        <is>
          <t>Удовлетворять</t>
        </is>
      </c>
      <c r="N15" s="5" t="inlineStr">
        <is>
          <t>Реальный эквайринг и касса вынесены за рамки проекта; оплата — кнопка-заглушка «Оплатить»</t>
        </is>
      </c>
      <c r="O15" s="5" t="inlineStr">
        <is>
          <t>О: исключение из объёма (устав 2.3); Д: заглушка оплаты (3.4.2)</t>
        </is>
      </c>
    </row>
    <row r="16">
      <c r="A16" s="4" t="n">
        <v>12</v>
      </c>
      <c r="B16" s="5" t="inlineStr">
        <is>
          <t>Роскомнадзор (152-ФЗ «О персональных данных»)</t>
        </is>
      </c>
      <c r="C16" s="5" t="inlineStr">
        <is>
          <t>Внешний</t>
        </is>
      </c>
      <c r="D16" s="5" t="inlineStr">
        <is>
          <t>Регулирующий орган</t>
        </is>
      </c>
      <c r="E16" s="5" t="inlineStr">
        <is>
          <t>Согласие на обработку ПДн, защита ПДн (телефон, email, пароль)</t>
        </is>
      </c>
      <c r="F16" s="5" t="inlineStr">
        <is>
          <t>Законная обработка данных клиентов</t>
        </is>
      </c>
      <c r="G16" s="5" t="inlineStr">
        <is>
          <t>Содержание — среднее; другое — штрафы</t>
        </is>
      </c>
      <c r="H16" s="5" t="inlineStr">
        <is>
          <t>Проверки, штрафы, блокировка ресурса</t>
        </is>
      </c>
      <c r="I16" s="4" t="n">
        <v>4</v>
      </c>
      <c r="J16" s="4" t="n">
        <v>1</v>
      </c>
      <c r="K16" s="4">
        <f>I16*J16</f>
        <v/>
      </c>
      <c r="L16" s="4">
        <f>IF(K16&gt;=15,"Высокий",IF(K16&gt;=8,"Средний","Низкий"))</f>
        <v/>
      </c>
      <c r="M16" s="5" t="inlineStr">
        <is>
          <t>Удовлетворять</t>
        </is>
      </c>
      <c r="N16" s="5" t="inlineStr">
        <is>
          <t>Чекбокс согласия при регистрации, хранение паролей в виде хэша, в прототипе — только вымышленные данные</t>
        </is>
      </c>
      <c r="O16" s="5" t="inlineStr">
        <is>
          <t>Т: согласие на обработку ПДн (3.2.1); О: только демо-данные; Р-06 нарушение 152-ФЗ</t>
        </is>
      </c>
    </row>
    <row r="17">
      <c r="A17" s="4" t="n">
        <v>13</v>
      </c>
      <c r="B17" s="5" t="inlineStr">
        <is>
          <t>Конкуренты: другие фотостудии и сервисы-агрегаторы бронирования студий</t>
        </is>
      </c>
      <c r="C17" s="5" t="inlineStr">
        <is>
          <t>Внешний</t>
        </is>
      </c>
      <c r="D17" s="5" t="inlineStr">
        <is>
          <t>Конкурентное окружение</t>
        </is>
      </c>
      <c r="E17" s="5" t="inlineStr">
        <is>
          <t>—</t>
        </is>
      </c>
      <c r="F17" s="5" t="inlineStr">
        <is>
          <t>Перехват клиентов, недовольных ручной записью</t>
        </is>
      </c>
      <c r="G17" s="5" t="inlineStr">
        <is>
          <t>Содержание — косвенно (планка удобства)</t>
        </is>
      </c>
      <c r="H17" s="5" t="inlineStr">
        <is>
          <t>Удобство их бронирования задаёт ожидания клиентов</t>
        </is>
      </c>
      <c r="I17" s="4" t="n">
        <v>2</v>
      </c>
      <c r="J17" s="4" t="n">
        <v>2</v>
      </c>
      <c r="K17" s="4">
        <f>I17*J17</f>
        <v/>
      </c>
      <c r="L17" s="4">
        <f>IF(K17&gt;=15,"Высокий",IF(K17&gt;=8,"Средний","Низкий"))</f>
        <v/>
      </c>
      <c r="M17" s="5" t="inlineStr">
        <is>
          <t>Мониторить</t>
        </is>
      </c>
      <c r="N17" s="5" t="inlineStr">
        <is>
          <t>Изучить 2–3 аналога при проектировании макетов, взять лучшие практики (цена и свободные слоты сразу на карточке)</t>
        </is>
      </c>
      <c r="O17" s="5" t="inlineStr">
        <is>
          <t>Т: цена и итоговая сумма видны до брони; Р-08 клиенты уходят к более удобным сервисам</t>
        </is>
      </c>
    </row>
    <row r="18">
      <c r="A18" s="4" t="n">
        <v>14</v>
      </c>
      <c r="B18" s="5" t="inlineStr">
        <is>
          <t>Telegram и VK (каналы, откуда сейчас приходят заявки)</t>
        </is>
      </c>
      <c r="C18" s="5" t="inlineStr">
        <is>
          <t>Внешний</t>
        </is>
      </c>
      <c r="D18" s="5" t="inlineStr">
        <is>
          <t>Платформы-каналы привлечения клиентов</t>
        </is>
      </c>
      <c r="E18" s="5" t="inlineStr">
        <is>
          <t>Правила платформ для ссылок и сообществ</t>
        </is>
      </c>
      <c r="F18" s="5" t="inlineStr">
        <is>
          <t>—</t>
        </is>
      </c>
      <c r="G18" s="5" t="inlineStr">
        <is>
          <t>Содержание — среднее</t>
        </is>
      </c>
      <c r="H18" s="5" t="inlineStr">
        <is>
          <t>Клиенты привыкли писать в мессенджеры; API платформ могут меняться</t>
        </is>
      </c>
      <c r="I18" s="4" t="n">
        <v>2</v>
      </c>
      <c r="J18" s="4" t="n">
        <v>1</v>
      </c>
      <c r="K18" s="4">
        <f>I18*J18</f>
        <v/>
      </c>
      <c r="L18" s="4">
        <f>IF(K18&gt;=15,"Высокий",IF(K18&gt;=8,"Средний","Низкий"))</f>
        <v/>
      </c>
      <c r="M18" s="5" t="inlineStr">
        <is>
          <t>Мониторить</t>
        </is>
      </c>
      <c r="N18" s="5" t="inlineStr">
        <is>
          <t>Не интегрироваться по API; администратор вносит заявки вручную, в соцсетях размещается ссылка на сайт</t>
        </is>
      </c>
      <c r="O18" s="5" t="inlineStr">
        <is>
          <t>О: интеграции с API вне границ проекта; Т: ручная бронь (3.3.2); Р-05 клиенты продолжат писать в мессенджеры</t>
        </is>
      </c>
    </row>
    <row r="19">
      <c r="A19" s="4" t="n">
        <v>15</v>
      </c>
      <c r="B19" s="5" t="inlineStr">
        <is>
          <t>GitHub и Docker Hub (поставщики инструментов)</t>
        </is>
      </c>
      <c r="C19" s="5" t="inlineStr">
        <is>
          <t>Внешний</t>
        </is>
      </c>
      <c r="D19" s="5" t="inlineStr">
        <is>
          <t>Поставщики инфраструктуры разработки</t>
        </is>
      </c>
      <c r="E19" s="5" t="inlineStr">
        <is>
          <t>Соблюдение условий бесплатных тарифов, лимитов загрузки образов</t>
        </is>
      </c>
      <c r="F19" s="5" t="inlineStr">
        <is>
          <t>—</t>
        </is>
      </c>
      <c r="G19" s="5" t="inlineStr">
        <is>
          <t>Сроки — среднее</t>
        </is>
      </c>
      <c r="H19" s="5" t="inlineStr">
        <is>
          <t>Ограничение доступа или лимиты блокируют работу команды</t>
        </is>
      </c>
      <c r="I19" s="4" t="n">
        <v>3</v>
      </c>
      <c r="J19" s="4" t="n">
        <v>1</v>
      </c>
      <c r="K19" s="4">
        <f>I19*J19</f>
        <v/>
      </c>
      <c r="L19" s="4">
        <f>IF(K19&gt;=15,"Высокий",IF(K19&gt;=8,"Средний","Низкий"))</f>
        <v/>
      </c>
      <c r="M19" s="5" t="inlineStr">
        <is>
          <t>Удовлетворять</t>
        </is>
      </c>
      <c r="N19" s="5" t="inlineStr">
        <is>
          <t>Держать копию репозитория локально, зафиксировать версии образов, подготовить зеркало Docker-образов</t>
        </is>
      </c>
      <c r="O19" s="5" t="inlineStr">
        <is>
          <t>Р-04 недоступность GitHub/Docker Hub; О: только бесплатные тарифы</t>
        </is>
      </c>
    </row>
    <row r="21">
      <c r="B21" s="6" t="inlineStr">
        <is>
          <t>Внешних ЗС (без заказчика и пользователей): 9</t>
        </is>
      </c>
    </row>
    <row r="22">
      <c r="B22" s="7" t="inlineStr">
        <is>
          <t>Обозначения в последнем столбце: Т — требование к продукту, О — ограничение содержания/проекта, Д — допущение, Р-xx — риск (идентификатор для реестра рисков).</t>
        </is>
      </c>
    </row>
  </sheetData>
  <autoFilter ref="A4:O19"/>
  <conditionalFormatting sqref="L5:L19">
    <cfRule type="cellIs" priority="1" operator="equal" dxfId="0">
      <formula>"Высокий"</formula>
    </cfRule>
    <cfRule type="cellIs" priority="2" operator="equal" dxfId="1">
      <formula>"Средний"</formula>
    </cfRule>
    <cfRule type="cellIs" priority="3" operator="equal" dxfId="2">
      <formula>"Низкий"</formula>
    </cfRule>
  </conditionalFormatting>
  <dataValidations count="1">
    <dataValidation sqref="I5:J19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</cols>
  <sheetData>
    <row r="1">
      <c r="A1" s="8" t="inlineStr">
        <is>
          <t>Матрица «влияние — интерес» (порог: ≥ 3 — высокое)</t>
        </is>
      </c>
    </row>
    <row r="3">
      <c r="B3" s="9" t="inlineStr">
        <is>
          <t>Интерес низкий (1–2)</t>
        </is>
      </c>
      <c r="C3" s="9" t="inlineStr">
        <is>
          <t>Интерес высокий (3–5)</t>
        </is>
      </c>
    </row>
    <row r="4" ht="130" customHeight="1">
      <c r="A4" s="9" t="inlineStr">
        <is>
          <t>Влияние высокое (3–5)</t>
        </is>
      </c>
      <c r="B4" s="10" t="inlineStr">
        <is>
          <t>УДОВЛЕТВОРЯТЬ
• Администрация креативного кластера (3/2)
• ФНС России / банк-эквайер (4/1)
• Роскомнадзор (4/1)
• GitHub и Docker Hub (3/1)</t>
        </is>
      </c>
      <c r="C4" s="11" t="inlineStr">
        <is>
          <t>УПРАВЛЯТЬ ПЛОТНО
• Владелец фотостудии (5/5)
• Администратор студии (3/5)
• Клиенты студии (3/4)
• Преподаватель практики (5/4)
• Руководитель проекта (5/5)
• Команда проекта (4/5)</t>
        </is>
      </c>
    </row>
    <row r="5" ht="95" customHeight="1">
      <c r="A5" s="9" t="inlineStr">
        <is>
          <t>Влияние низкое (1–2)</t>
        </is>
      </c>
      <c r="B5" s="12" t="inlineStr">
        <is>
          <t>МОНИТОРИТЬ
• Соседние арендаторы этажа (2/2)
• Конкуренты: другие фотостудии и сервисы-агрегаторы бронирования студий (2/2)
• Telegram и VK (2/1)</t>
        </is>
      </c>
      <c r="C5" s="13" t="inlineStr">
        <is>
          <t>ИНФОРМИРОВАТЬ
• Клининговая служба (2/4)
• Партнёрская служба аренды фототехники (2/3)</t>
        </is>
      </c>
    </row>
    <row r="7">
      <c r="A7" s="7" t="inlineStr">
        <is>
          <t>В скобках — (влияние / интерес). Положение в матрице определяет стратегию взаимодействия в реестре.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2" customWidth="1" min="3" max="3"/>
    <col width="24" customWidth="1" min="4" max="4"/>
    <col width="18" customWidth="1" min="5" max="5"/>
    <col width="16" customWidth="1" min="6" max="6"/>
    <col width="30" customWidth="1" min="7" max="7"/>
  </cols>
  <sheetData>
    <row r="1">
      <c r="A1" s="8" t="inlineStr">
        <is>
          <t>План коммуникаций с вовлечёнными заинтересованными сторонами</t>
        </is>
      </c>
    </row>
    <row r="3">
      <c r="A3" s="3" t="inlineStr">
        <is>
          <t>ЗС</t>
        </is>
      </c>
      <c r="B3" s="3" t="inlineStr">
        <is>
          <t>Мероприятие / канал</t>
        </is>
      </c>
      <c r="C3" s="3" t="inlineStr">
        <is>
          <t>Цель</t>
        </is>
      </c>
      <c r="D3" s="3" t="inlineStr">
        <is>
          <t>Периодичность</t>
        </is>
      </c>
      <c r="E3" s="3" t="inlineStr">
        <is>
          <t>Формат</t>
        </is>
      </c>
      <c r="F3" s="3" t="inlineStr">
        <is>
          <t>Ответственный</t>
        </is>
      </c>
      <c r="G3" s="3" t="inlineStr">
        <is>
          <t>Результат / артефакт</t>
        </is>
      </c>
    </row>
    <row r="4">
      <c r="A4" s="5" t="inlineStr">
        <is>
          <t>Заказчик (владелец студии)</t>
        </is>
      </c>
      <c r="B4" s="5" t="inlineStr">
        <is>
          <t>Демонстрация инкремента и приёмка по чек-листу</t>
        </is>
      </c>
      <c r="C4" s="5" t="inlineStr">
        <is>
          <t>Принять результат итерации, собрать замечания</t>
        </is>
      </c>
      <c r="D4" s="5" t="inlineStr">
        <is>
          <t>Раз в 2 недели (конец итерации, на паре)</t>
        </is>
      </c>
      <c r="E4" s="5" t="inlineStr">
        <is>
          <t>Очно</t>
        </is>
      </c>
      <c r="F4" s="5" t="inlineStr">
        <is>
          <t>РП</t>
        </is>
      </c>
      <c r="G4" s="5" t="inlineStr">
        <is>
          <t>Отметки в чек-листе, замечания в бэклоге</t>
        </is>
      </c>
    </row>
    <row r="5">
      <c r="A5" s="5" t="inlineStr">
        <is>
          <t>Заказчик (владелец студии)</t>
        </is>
      </c>
      <c r="B5" s="5" t="inlineStr">
        <is>
          <t>Согласование изменений (запрос на изменение)</t>
        </is>
      </c>
      <c r="C5" s="5" t="inlineStr">
        <is>
          <t>Согласовать изменения объёма/сроков/бюджета</t>
        </is>
      </c>
      <c r="D5" s="5" t="inlineStr">
        <is>
          <t>По событию</t>
        </is>
      </c>
      <c r="E5" s="5" t="inlineStr">
        <is>
          <t>Документ + обсуждение на паре</t>
        </is>
      </c>
      <c r="F5" s="5" t="inlineStr">
        <is>
          <t>РП</t>
        </is>
      </c>
      <c r="G5" s="5" t="inlineStr">
        <is>
          <t>Запись в журнале изменений</t>
        </is>
      </c>
    </row>
    <row r="6">
      <c r="A6" s="5" t="inlineStr">
        <is>
          <t>Заказчик (владелец студии)</t>
        </is>
      </c>
      <c r="B6" s="5" t="inlineStr">
        <is>
          <t>Чат проекта (Telegram)</t>
        </is>
      </c>
      <c r="C6" s="5" t="inlineStr">
        <is>
          <t>Оперативные вопросы по требованиям</t>
        </is>
      </c>
      <c r="D6" s="5" t="inlineStr">
        <is>
          <t>По необходимости, ответ ≤ 2 раб. дня</t>
        </is>
      </c>
      <c r="E6" s="5" t="inlineStr">
        <is>
          <t>Мессенджер</t>
        </is>
      </c>
      <c r="F6" s="5" t="inlineStr">
        <is>
          <t>Бизнес-аналитик</t>
        </is>
      </c>
      <c r="G6" s="5" t="inlineStr">
        <is>
          <t>Уточнения в бэклоге / концепт-документе</t>
        </is>
      </c>
    </row>
    <row r="7">
      <c r="A7" s="5" t="inlineStr">
        <is>
          <t>Администратор студии (через заказчика)</t>
        </is>
      </c>
      <c r="B7" s="5" t="inlineStr">
        <is>
          <t>Прогон сценариев администратора</t>
        </is>
      </c>
      <c r="C7" s="5" t="inlineStr">
        <is>
          <t>Проверить удобство кабинета</t>
        </is>
      </c>
      <c r="D7" s="5" t="inlineStr">
        <is>
          <t>Итерации 3 и 4</t>
        </is>
      </c>
      <c r="E7" s="5" t="inlineStr">
        <is>
          <t>Очно, на демо</t>
        </is>
      </c>
      <c r="F7" s="5" t="inlineStr">
        <is>
          <t>Бизнес-аналитик</t>
        </is>
      </c>
      <c r="G7" s="5" t="inlineStr">
        <is>
          <t>Замечания в бэклоге</t>
        </is>
      </c>
    </row>
    <row r="8">
      <c r="A8" s="5" t="inlineStr">
        <is>
          <t>Клиенты студии</t>
        </is>
      </c>
      <c r="B8" s="5" t="inlineStr">
        <is>
          <t>Проверка интерфейса на 2–3 фотографах</t>
        </is>
      </c>
      <c r="C8" s="5" t="inlineStr">
        <is>
          <t>Проверить путь бронирования с телефона</t>
        </is>
      </c>
      <c r="D8" s="5" t="inlineStr">
        <is>
          <t>Итерации 2 и 3</t>
        </is>
      </c>
      <c r="E8" s="5" t="inlineStr">
        <is>
          <t>Очно / видеозвонок</t>
        </is>
      </c>
      <c r="F8" s="5" t="inlineStr">
        <is>
          <t>Бизнес-аналитик</t>
        </is>
      </c>
      <c r="G8" s="5" t="inlineStr">
        <is>
          <t>Список замечаний, правки в бэклоге</t>
        </is>
      </c>
    </row>
    <row r="9">
      <c r="A9" s="5" t="inlineStr">
        <is>
          <t>Преподаватель (куратор)</t>
        </is>
      </c>
      <c r="B9" s="5" t="inlineStr">
        <is>
          <t>Сдача артефактов фазы</t>
        </is>
      </c>
      <c r="C9" s="5" t="inlineStr">
        <is>
          <t>Оценка артефактов</t>
        </is>
      </c>
      <c r="D9" s="5" t="inlineStr">
        <is>
          <t>Раз в 2 недели (на паре)</t>
        </is>
      </c>
      <c r="E9" s="5" t="inlineStr">
        <is>
          <t>Очно + облачная папка</t>
        </is>
      </c>
      <c r="F9" s="5" t="inlineStr">
        <is>
          <t>РП</t>
        </is>
      </c>
      <c r="G9" s="5" t="inlineStr">
        <is>
          <t>Принятые артефакты</t>
        </is>
      </c>
    </row>
    <row r="10">
      <c r="A10" s="5" t="inlineStr">
        <is>
          <t>Преподаватель (куратор)</t>
        </is>
      </c>
      <c r="B10" s="5" t="inlineStr">
        <is>
          <t>Отчёт о статусе</t>
        </is>
      </c>
      <c r="C10" s="5" t="inlineStr">
        <is>
          <t>CV, SV, EAC, VAC, velocity, риски, изменения</t>
        </is>
      </c>
      <c r="D10" s="5" t="inlineStr">
        <is>
          <t>Раз в 2 недели (фазы 5–8)</t>
        </is>
      </c>
      <c r="E10" s="5" t="inlineStr">
        <is>
          <t>Устно + таблица</t>
        </is>
      </c>
      <c r="F10" s="5" t="inlineStr">
        <is>
          <t>РП</t>
        </is>
      </c>
      <c r="G10" s="5" t="inlineStr">
        <is>
          <t>Отчёт о статусе</t>
        </is>
      </c>
    </row>
    <row r="11">
      <c r="A11" s="5" t="inlineStr">
        <is>
          <t>Преподаватель (куратор)</t>
        </is>
      </c>
      <c r="B11" s="5" t="inlineStr">
        <is>
          <t>Доступ к трекеру и репозиторию</t>
        </is>
      </c>
      <c r="C11" s="5" t="inlineStr">
        <is>
          <t>Мониторинг хода работ</t>
        </is>
      </c>
      <c r="D11" s="5" t="inlineStr">
        <is>
          <t>Постоянно</t>
        </is>
      </c>
      <c r="E11" s="5" t="inlineStr">
        <is>
          <t>GitHub / Taiga</t>
        </is>
      </c>
      <c r="F11" s="5" t="inlineStr">
        <is>
          <t>РП</t>
        </is>
      </c>
      <c r="G11" s="5" t="inlineStr">
        <is>
          <t>Актуальный трекер</t>
        </is>
      </c>
    </row>
    <row r="12">
      <c r="A12" s="5" t="inlineStr">
        <is>
          <t>Команда проекта</t>
        </is>
      </c>
      <c r="B12" s="5" t="inlineStr">
        <is>
          <t>Короткий созвон (стендап)</t>
        </is>
      </c>
      <c r="C12" s="5" t="inlineStr">
        <is>
          <t>Синхронизация, блокеры</t>
        </is>
      </c>
      <c r="D12" s="5" t="inlineStr">
        <is>
          <t>2 раза в неделю, 15 мин</t>
        </is>
      </c>
      <c r="E12" s="5" t="inlineStr">
        <is>
          <t>Видеозвонок</t>
        </is>
      </c>
      <c r="F12" s="5" t="inlineStr">
        <is>
          <t>РП</t>
        </is>
      </c>
      <c r="G12" s="5" t="inlineStr">
        <is>
          <t>Обновлённые статусы задач</t>
        </is>
      </c>
    </row>
    <row r="13">
      <c r="A13" s="5" t="inlineStr">
        <is>
          <t>Команда проекта</t>
        </is>
      </c>
      <c r="B13" s="5" t="inlineStr">
        <is>
          <t>Планирование итерации (покер)</t>
        </is>
      </c>
      <c r="C13" s="5" t="inlineStr">
        <is>
          <t>Отбор и оценка историй</t>
        </is>
      </c>
      <c r="D13" s="5" t="inlineStr">
        <is>
          <t>Раз в 2 недели</t>
        </is>
      </c>
      <c r="E13" s="5" t="inlineStr">
        <is>
          <t>Очно / видеозвонок</t>
        </is>
      </c>
      <c r="F13" s="5" t="inlineStr">
        <is>
          <t>РП</t>
        </is>
      </c>
      <c r="G13" s="5" t="inlineStr">
        <is>
          <t>Бэклог итерации</t>
        </is>
      </c>
    </row>
    <row r="14">
      <c r="A14" s="5" t="inlineStr">
        <is>
          <t>Команда проекта</t>
        </is>
      </c>
      <c r="B14" s="5" t="inlineStr">
        <is>
          <t>Ретроспектива</t>
        </is>
      </c>
      <c r="C14" s="5" t="inlineStr">
        <is>
          <t>Одно улучшение процесса в бэклог</t>
        </is>
      </c>
      <c r="D14" s="5" t="inlineStr">
        <is>
          <t>Раз в 2 недели</t>
        </is>
      </c>
      <c r="E14" s="5" t="inlineStr">
        <is>
          <t>Видеозвонок</t>
        </is>
      </c>
      <c r="F14" s="5" t="inlineStr">
        <is>
          <t>РП</t>
        </is>
      </c>
      <c r="G14" s="5" t="inlineStr">
        <is>
          <t>Пункт улучшения в бэклоге</t>
        </is>
      </c>
    </row>
    <row r="16">
      <c r="A16" s="7" t="inlineStr">
        <is>
          <t>С остальными ЗС (арендодатель, клининг, соседи, рентал, ФНС/банк, Роскомнадзор, конкуренты, Telegram/VK, GitHub/Docker Hub) прямых коммуникаций нет: их требования учитываются через заказчика и решения в содержании проекта.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8" t="inlineStr">
        <is>
          <t>Методика оценки заинтересованных сторон</t>
        </is>
      </c>
    </row>
    <row r="3">
      <c r="A3" s="14" t="inlineStr">
        <is>
          <t>Влияние (1–5)</t>
        </is>
      </c>
      <c r="B3" s="15" t="inlineStr">
        <is>
          <t>Насколько ЗС может изменить сроки, бюджет или содержание проекта: 1 — практически не может; 3 — может повлиять на отдельные требования; 5 — может остановить проект или отклонить результат.</t>
        </is>
      </c>
    </row>
    <row r="4">
      <c r="A4" s="14" t="inlineStr">
        <is>
          <t>Интерес (1–5)</t>
        </is>
      </c>
      <c r="B4" s="15" t="inlineStr">
        <is>
          <t>Насколько ЗС заинтересована в результате проекта: 1 — результат её почти не касается; 3 — касается косвенно; 5 — напрямую зависит от результата.</t>
        </is>
      </c>
    </row>
    <row r="5">
      <c r="A5" s="14" t="inlineStr">
        <is>
          <t>Приоритет</t>
        </is>
      </c>
      <c r="B5" s="15" t="inlineStr">
        <is>
          <t>Влияние × Интерес (1–25). Высокий — ≥ 15, средний — 8–14, низкий — ≤ 7. Считается формулой.</t>
        </is>
      </c>
    </row>
    <row r="6">
      <c r="A6" s="14" t="inlineStr">
        <is>
          <t>Стратегия</t>
        </is>
      </c>
      <c r="B6" s="15" t="inlineStr">
        <is>
          <t>По матрице влияние/интерес (порог ≥ 3): высокое/высокое — управлять плотно; высокое влияние/низкий интерес — удовлетворять; низкое влияние/высокий интерес — информировать; низкое/низкое — мониторить.</t>
        </is>
      </c>
    </row>
    <row r="7">
      <c r="A7" s="14" t="inlineStr">
        <is>
          <t>Как получены оценки</t>
        </is>
      </c>
      <c r="B7" s="15" t="inlineStr">
        <is>
          <t>Итеративная процедура: каждый участник команды независимо оценил влияние и интерес, расхождения &gt; 1 балла обсуждались, оценка повторялась до разброса ≤ 1; итог — округлённое среднее.</t>
        </is>
      </c>
    </row>
    <row r="8">
      <c r="A8" s="14" t="inlineStr">
        <is>
          <t>Правило включения</t>
        </is>
      </c>
      <c r="B8" s="15" t="inlineStr">
        <is>
          <t>В реестр включена только ЗС, из которой следует требование, ограничение, допущение или риск (последний столбец реестра).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2026-10-01T18:28:54Z</dcterms:created>
  <dcterms:modified xmlns:dcterms="http://purl.org/dc/terms/" xmlns:xsi="http://www.w3.org/2001/XMLSchema-instance" xsi:type="dcterms:W3CDTF">2026-10-01T18:28:54Z</dcterms:modified>
</cp:coreProperties>
</file>